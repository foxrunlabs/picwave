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426"/>
  <workbookPr/>
  <mc:AlternateContent xmlns:mc="http://schemas.openxmlformats.org/markup-compatibility/2006">
    <mc:Choice Requires="x15">
      <x15ac:absPath xmlns:x15ac="http://schemas.microsoft.com/office/spreadsheetml/2010/11/ac" url="/Users/rfclarke/Documents/Nerd Lab/MPLABXProjects/picWAVE.X/doc/"/>
    </mc:Choice>
  </mc:AlternateContent>
  <bookViews>
    <workbookView xWindow="0" yWindow="460" windowWidth="28800" windowHeight="16220" tabRatio="500"/>
  </bookViews>
  <sheets>
    <sheet name="Sheet1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J17" i="1" l="1"/>
  <c r="J13" i="1"/>
  <c r="J12" i="1"/>
  <c r="J11" i="1"/>
  <c r="J9" i="1"/>
  <c r="J8" i="1"/>
  <c r="J7" i="1"/>
  <c r="J6" i="1"/>
  <c r="J5" i="1"/>
  <c r="J10" i="1"/>
  <c r="J4" i="1"/>
  <c r="J26" i="1"/>
  <c r="J25" i="1"/>
  <c r="J24" i="1"/>
  <c r="J23" i="1"/>
  <c r="J22" i="1"/>
  <c r="J21" i="1"/>
  <c r="J19" i="1"/>
  <c r="J33" i="1"/>
  <c r="J32" i="1"/>
  <c r="J31" i="1"/>
  <c r="J30" i="1"/>
  <c r="J28" i="1"/>
  <c r="J15" i="1"/>
  <c r="J16" i="1"/>
</calcChain>
</file>

<file path=xl/sharedStrings.xml><?xml version="1.0" encoding="utf-8"?>
<sst xmlns="http://schemas.openxmlformats.org/spreadsheetml/2006/main" count="170" uniqueCount="132">
  <si>
    <t>C3</t>
  </si>
  <si>
    <t>C5</t>
  </si>
  <si>
    <t>C7</t>
  </si>
  <si>
    <t>C11</t>
  </si>
  <si>
    <t>C14</t>
  </si>
  <si>
    <t>C15</t>
  </si>
  <si>
    <t>C16</t>
  </si>
  <si>
    <t>J3</t>
  </si>
  <si>
    <t>R9</t>
  </si>
  <si>
    <t>R10</t>
  </si>
  <si>
    <t>S1</t>
  </si>
  <si>
    <t>U1</t>
  </si>
  <si>
    <t>U2</t>
  </si>
  <si>
    <t>U3</t>
  </si>
  <si>
    <t>U4</t>
  </si>
  <si>
    <t>PIC16F1708-I/SO</t>
  </si>
  <si>
    <t>25AA1024-I/SM</t>
  </si>
  <si>
    <t>FT230XS</t>
  </si>
  <si>
    <t>LP2985-33DBVR</t>
  </si>
  <si>
    <t>Reference</t>
  </si>
  <si>
    <t>Part Description</t>
  </si>
  <si>
    <t>Manufacturer</t>
  </si>
  <si>
    <t>Manufacturer Part Number</t>
  </si>
  <si>
    <t>PCB Footprint</t>
  </si>
  <si>
    <t>Supplier</t>
  </si>
  <si>
    <t>Supplier Part Number</t>
  </si>
  <si>
    <t>SOT-23-5</t>
  </si>
  <si>
    <t>SOIC-20-W</t>
  </si>
  <si>
    <t>SOIJ-8</t>
  </si>
  <si>
    <t>SSOP-16</t>
  </si>
  <si>
    <t>Molex</t>
  </si>
  <si>
    <t>22-05-3021</t>
  </si>
  <si>
    <t>Digi-Key</t>
  </si>
  <si>
    <t>WM4300-ND</t>
  </si>
  <si>
    <t>Header, Right Angle, Friction Lock, Male 2-pin, 100mil spacing</t>
  </si>
  <si>
    <t>Texas Instruments</t>
  </si>
  <si>
    <t>FTDI</t>
  </si>
  <si>
    <t>USB to Basic UART IC</t>
  </si>
  <si>
    <t>Microchip</t>
  </si>
  <si>
    <t>20-pin 8-bit Advanced Analog Flash Microcontroller</t>
  </si>
  <si>
    <t>1 Mbit SPI Bus Serial EEPROM</t>
  </si>
  <si>
    <t>E-Switch</t>
  </si>
  <si>
    <t>KS-00Q-01</t>
  </si>
  <si>
    <t>Quantity</t>
  </si>
  <si>
    <t>LED1, LED2</t>
  </si>
  <si>
    <t>J1, J2</t>
  </si>
  <si>
    <t>R3, R4</t>
  </si>
  <si>
    <t>R5, R6</t>
  </si>
  <si>
    <t>R1, R2</t>
  </si>
  <si>
    <t>R7, R8</t>
  </si>
  <si>
    <t>Amphenol</t>
  </si>
  <si>
    <t>68016-106HLF</t>
  </si>
  <si>
    <t>609-3313-ND</t>
  </si>
  <si>
    <t>Cost per Part</t>
  </si>
  <si>
    <t>Total Cost</t>
  </si>
  <si>
    <t>12x11.5 mm</t>
  </si>
  <si>
    <t>0.1 inch x 2</t>
  </si>
  <si>
    <t>0.1 inch x 6</t>
  </si>
  <si>
    <t>LTST-C150KRKT</t>
  </si>
  <si>
    <t>Lite-On</t>
  </si>
  <si>
    <t>EG4788-ND</t>
  </si>
  <si>
    <t>Pushbutton Switch, SPST-NO</t>
  </si>
  <si>
    <t>PIC16F1708-I/SO-ND</t>
  </si>
  <si>
    <t>25AA1024-I/SM-ND</t>
  </si>
  <si>
    <t>768-1154-5-ND</t>
  </si>
  <si>
    <t>296-18476-1-ND</t>
  </si>
  <si>
    <t>Linear Voltage Regulator, Fixed 3.3V, 150mA</t>
  </si>
  <si>
    <t>160-1405-1-ND</t>
  </si>
  <si>
    <t>LED, Red 631nm</t>
  </si>
  <si>
    <t>Yageo</t>
  </si>
  <si>
    <t>RT1206FR-07931RL</t>
  </si>
  <si>
    <t>311-931FRCT-ND</t>
  </si>
  <si>
    <t>RT1206FR-072K2L</t>
  </si>
  <si>
    <t>311-2.20KFRCT-ND</t>
  </si>
  <si>
    <t>Resistor, 2.2k ohm, 1%, 0.25W, 1206</t>
  </si>
  <si>
    <t>Resistor, 931 ohm, 1%, 0.25W, 1206</t>
  </si>
  <si>
    <t>RC1206JR-07130RL</t>
  </si>
  <si>
    <t>Resistor, 130 ohm, 5%, 0.25W, 1206</t>
  </si>
  <si>
    <t>311-130ERCT-ND</t>
  </si>
  <si>
    <t>Resistor, 27 ohm, 5%, 0.25W, 1206</t>
  </si>
  <si>
    <t>RC1206JR-0727RL</t>
  </si>
  <si>
    <t>311-27ERCT-ND</t>
  </si>
  <si>
    <t>Resistor, 4.7k ohm, 5%, 0.25W, 1206</t>
  </si>
  <si>
    <t>RC1206JR-074K7L</t>
  </si>
  <si>
    <t>311-4.7KERCT-ND</t>
  </si>
  <si>
    <t>Resistor, 10k ohm, 5%, 0.25W, 1206</t>
  </si>
  <si>
    <t>RC1206JR-0710KL</t>
  </si>
  <si>
    <t>311-10KERCT-ND</t>
  </si>
  <si>
    <t>Kemet</t>
  </si>
  <si>
    <t>399-1249-1-ND</t>
  </si>
  <si>
    <t>C1206C104K5RAC7867</t>
  </si>
  <si>
    <t>Capacitor, Ceramic, 0.1uF, 50V, +/-10%, X7R, 1206</t>
  </si>
  <si>
    <t>Capacitor, Ceramic, 4.7uF, 16V, +/-10%, X7R, 1206</t>
  </si>
  <si>
    <t>C1206C475K4RACTU</t>
  </si>
  <si>
    <t>399-3524-1-ND</t>
  </si>
  <si>
    <t>UWT1C471MNL1GS</t>
  </si>
  <si>
    <t>Nichicon</t>
  </si>
  <si>
    <t>8.3x8.3 mm</t>
  </si>
  <si>
    <t>493-2181-1-ND</t>
  </si>
  <si>
    <t>Capacitor, Aluminum, 470uF, 16V, +/-20%, Can</t>
  </si>
  <si>
    <t>C9, C10</t>
  </si>
  <si>
    <t>C4, C6</t>
  </si>
  <si>
    <t>C1, C2, C8, C12, C13</t>
  </si>
  <si>
    <t>399-9347-1-ND</t>
  </si>
  <si>
    <t>C1206C332F5GACTU</t>
  </si>
  <si>
    <t>Capacitor, Ceramic, 3300pF, 50V, +/-1%, C0G/NP0, 1206</t>
  </si>
  <si>
    <t>399-9357-1-ND</t>
  </si>
  <si>
    <t>C1206C392F5GACTU</t>
  </si>
  <si>
    <t>Capacitor, Ceramic, 3900pF, 50V, +/-1%, C0G/NP0, 1206</t>
  </si>
  <si>
    <t>Capacitor, Ceramic, 0.022uF, 25V, +/-1%, C0G/NP0, 1206</t>
  </si>
  <si>
    <t>C1206C223F3GAC7800</t>
  </si>
  <si>
    <t>399-10002-1-ND</t>
  </si>
  <si>
    <t>399-8191-1-ND</t>
  </si>
  <si>
    <t>C1206C470K5GACTU</t>
  </si>
  <si>
    <t>Capacitor, Ceramic, 47pF, 50V, +/-10%, C0G/NP0, 1206</t>
  </si>
  <si>
    <t>Capacitor, Ceramic, 1uF, 16V, +/-10%, X7R, 1206</t>
  </si>
  <si>
    <t>C1206C105K4RACTU</t>
  </si>
  <si>
    <t>399-1254-1-ND</t>
  </si>
  <si>
    <t>Capacitor, Ceramic, 2.2uF, 25V, +/-10%, X7R, 1206</t>
  </si>
  <si>
    <t>C1206C225K3RACTU</t>
  </si>
  <si>
    <t>399-8180-1-ND</t>
  </si>
  <si>
    <t>399-1234-1-ND</t>
  </si>
  <si>
    <t>C1206C103K5RACTU</t>
  </si>
  <si>
    <t>Capacitor, Ceramic, 10nF, 50V, +/-10%, X7R, 1206</t>
  </si>
  <si>
    <t>Header, Right Angle, Male 6-pin, 100mil spacing</t>
  </si>
  <si>
    <t>J4</t>
  </si>
  <si>
    <t>Omron</t>
  </si>
  <si>
    <t>XM7D-0512</t>
  </si>
  <si>
    <t>OR1205-ND</t>
  </si>
  <si>
    <t>USB, Right Angle, Mini-B</t>
  </si>
  <si>
    <t>7.7x9.85 mm</t>
  </si>
  <si>
    <t>picWAVE Bill of Materials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</si>
</sst>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(&quot;$&quot;* #,##0.00_);_(&quot;$&quot;* \(#,##0.00\);_(&quot;$&quot;* &quot;-&quot;??_);_(@_)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8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9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/>
    <xf numFmtId="0" fontId="2" fillId="0" borderId="0" xfId="0" applyFont="1" applyAlignment="1">
      <alignment horizontal="left"/>
    </xf>
    <xf numFmtId="44" fontId="0" fillId="0" borderId="0" xfId="1" applyFont="1"/>
    <xf numFmtId="44" fontId="2" fillId="0" borderId="0" xfId="1" applyFont="1"/>
    <xf numFmtId="44" fontId="2" fillId="0" borderId="0" xfId="1" applyFont="1" applyAlignment="1">
      <alignment horizontal="left"/>
    </xf>
    <xf numFmtId="44" fontId="0" fillId="0" borderId="0" xfId="0" applyNumberFormat="1"/>
    <xf numFmtId="0" fontId="3" fillId="0" borderId="0" xfId="0" applyFont="1" applyAlignment="1">
      <alignment horizontal="center"/>
    </xf>
  </cellXfs>
  <cellStyles count="2">
    <cellStyle name="Currency" xfId="1" builtinId="4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5" Type="http://schemas.openxmlformats.org/officeDocument/2006/relationships/calcChain" Target="calcChain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tabSelected="1" workbookViewId="0">
      <selection activeCell="E19" sqref="E19"/>
    </sheetView>
  </sheetViews>
  <sheetFormatPr baseColWidth="10" defaultRowHeight="16" x14ac:dyDescent="0.2"/>
  <cols>
    <col min="1" max="1" width="10.83203125" style="1"/>
    <col min="2" max="2" width="17.33203125" customWidth="1"/>
    <col min="3" max="3" width="50.33203125" style="1" customWidth="1"/>
    <col min="4" max="4" width="16" bestFit="1" customWidth="1"/>
    <col min="5" max="5" width="23.33203125" bestFit="1" customWidth="1"/>
    <col min="6" max="6" width="12.33203125" style="1" bestFit="1" customWidth="1"/>
    <col min="7" max="7" width="7.83203125" customWidth="1"/>
    <col min="8" max="8" width="18.6640625" bestFit="1" customWidth="1"/>
    <col min="9" max="9" width="13.1640625" style="4" bestFit="1" customWidth="1"/>
  </cols>
  <sheetData>
    <row r="1" spans="1:10" ht="24" x14ac:dyDescent="0.3">
      <c r="A1" s="8" t="s">
        <v>131</v>
      </c>
      <c r="B1" s="8"/>
      <c r="C1" s="8"/>
      <c r="D1" s="8"/>
      <c r="E1" s="8"/>
      <c r="F1" s="8"/>
      <c r="G1" s="8"/>
      <c r="H1" s="8"/>
      <c r="I1" s="8"/>
      <c r="J1" s="8"/>
    </row>
    <row r="3" spans="1:10" x14ac:dyDescent="0.2">
      <c r="A3" s="3" t="s">
        <v>43</v>
      </c>
      <c r="B3" s="2" t="s">
        <v>19</v>
      </c>
      <c r="C3" s="3" t="s">
        <v>20</v>
      </c>
      <c r="D3" s="2" t="s">
        <v>21</v>
      </c>
      <c r="E3" s="2" t="s">
        <v>22</v>
      </c>
      <c r="F3" s="3" t="s">
        <v>23</v>
      </c>
      <c r="G3" s="2" t="s">
        <v>24</v>
      </c>
      <c r="H3" s="2" t="s">
        <v>25</v>
      </c>
      <c r="I3" s="6" t="s">
        <v>53</v>
      </c>
      <c r="J3" s="2" t="s">
        <v>54</v>
      </c>
    </row>
    <row r="4" spans="1:10" x14ac:dyDescent="0.2">
      <c r="A4" s="1">
        <v>5</v>
      </c>
      <c r="B4" t="s">
        <v>102</v>
      </c>
      <c r="C4" s="1" t="s">
        <v>91</v>
      </c>
      <c r="D4" t="s">
        <v>88</v>
      </c>
      <c r="E4" t="s">
        <v>90</v>
      </c>
      <c r="F4" s="1">
        <v>1206</v>
      </c>
      <c r="G4" t="s">
        <v>32</v>
      </c>
      <c r="H4" t="s">
        <v>89</v>
      </c>
      <c r="I4" s="4">
        <v>0.1</v>
      </c>
      <c r="J4" s="7">
        <f t="shared" ref="J4:J13" si="0">A4*I4</f>
        <v>0.5</v>
      </c>
    </row>
    <row r="5" spans="1:10" x14ac:dyDescent="0.2">
      <c r="A5" s="1">
        <v>1</v>
      </c>
      <c r="B5" t="s">
        <v>0</v>
      </c>
      <c r="C5" s="1" t="s">
        <v>99</v>
      </c>
      <c r="D5" t="s">
        <v>96</v>
      </c>
      <c r="E5" t="s">
        <v>95</v>
      </c>
      <c r="F5" s="1" t="s">
        <v>97</v>
      </c>
      <c r="G5" t="s">
        <v>32</v>
      </c>
      <c r="H5" t="s">
        <v>98</v>
      </c>
      <c r="I5" s="4">
        <v>0.6</v>
      </c>
      <c r="J5" s="7">
        <f t="shared" si="0"/>
        <v>0.6</v>
      </c>
    </row>
    <row r="6" spans="1:10" x14ac:dyDescent="0.2">
      <c r="A6" s="1">
        <v>2</v>
      </c>
      <c r="B6" t="s">
        <v>101</v>
      </c>
      <c r="C6" s="1" t="s">
        <v>105</v>
      </c>
      <c r="D6" t="s">
        <v>88</v>
      </c>
      <c r="E6" t="s">
        <v>104</v>
      </c>
      <c r="F6" s="1">
        <v>1206</v>
      </c>
      <c r="G6" t="s">
        <v>32</v>
      </c>
      <c r="H6" t="s">
        <v>103</v>
      </c>
      <c r="I6" s="4">
        <v>2.46</v>
      </c>
      <c r="J6" s="7">
        <f t="shared" si="0"/>
        <v>4.92</v>
      </c>
    </row>
    <row r="7" spans="1:10" x14ac:dyDescent="0.2">
      <c r="A7" s="1">
        <v>1</v>
      </c>
      <c r="B7" t="s">
        <v>1</v>
      </c>
      <c r="C7" s="1" t="s">
        <v>108</v>
      </c>
      <c r="D7" t="s">
        <v>88</v>
      </c>
      <c r="E7" t="s">
        <v>107</v>
      </c>
      <c r="F7" s="1">
        <v>1206</v>
      </c>
      <c r="G7" t="s">
        <v>32</v>
      </c>
      <c r="H7" t="s">
        <v>106</v>
      </c>
      <c r="I7" s="4">
        <v>2.23</v>
      </c>
      <c r="J7" s="7">
        <f t="shared" si="0"/>
        <v>2.23</v>
      </c>
    </row>
    <row r="8" spans="1:10" x14ac:dyDescent="0.2">
      <c r="A8" s="1">
        <v>1</v>
      </c>
      <c r="B8" t="s">
        <v>2</v>
      </c>
      <c r="C8" s="1" t="s">
        <v>109</v>
      </c>
      <c r="D8" t="s">
        <v>88</v>
      </c>
      <c r="E8" t="s">
        <v>110</v>
      </c>
      <c r="F8" s="1">
        <v>1206</v>
      </c>
      <c r="G8" t="s">
        <v>32</v>
      </c>
      <c r="H8" t="s">
        <v>111</v>
      </c>
      <c r="I8" s="4">
        <v>5.23</v>
      </c>
      <c r="J8" s="7">
        <f t="shared" si="0"/>
        <v>5.23</v>
      </c>
    </row>
    <row r="9" spans="1:10" x14ac:dyDescent="0.2">
      <c r="A9" s="1">
        <v>2</v>
      </c>
      <c r="B9" t="s">
        <v>100</v>
      </c>
      <c r="C9" s="1" t="s">
        <v>114</v>
      </c>
      <c r="D9" t="s">
        <v>88</v>
      </c>
      <c r="E9" t="s">
        <v>113</v>
      </c>
      <c r="F9" s="1">
        <v>1206</v>
      </c>
      <c r="G9" t="s">
        <v>32</v>
      </c>
      <c r="H9" t="s">
        <v>112</v>
      </c>
      <c r="I9" s="4">
        <v>0.16</v>
      </c>
      <c r="J9" s="7">
        <f t="shared" si="0"/>
        <v>0.32</v>
      </c>
    </row>
    <row r="10" spans="1:10" x14ac:dyDescent="0.2">
      <c r="A10" s="1">
        <v>1</v>
      </c>
      <c r="B10" t="s">
        <v>3</v>
      </c>
      <c r="C10" s="1" t="s">
        <v>92</v>
      </c>
      <c r="D10" t="s">
        <v>88</v>
      </c>
      <c r="E10" t="s">
        <v>93</v>
      </c>
      <c r="F10" s="1">
        <v>1206</v>
      </c>
      <c r="G10" t="s">
        <v>32</v>
      </c>
      <c r="H10" t="s">
        <v>94</v>
      </c>
      <c r="I10" s="4">
        <v>0.36</v>
      </c>
      <c r="J10" s="7">
        <f t="shared" si="0"/>
        <v>0.36</v>
      </c>
    </row>
    <row r="11" spans="1:10" x14ac:dyDescent="0.2">
      <c r="A11" s="1">
        <v>1</v>
      </c>
      <c r="B11" t="s">
        <v>4</v>
      </c>
      <c r="C11" s="1" t="s">
        <v>115</v>
      </c>
      <c r="D11" t="s">
        <v>88</v>
      </c>
      <c r="E11" t="s">
        <v>116</v>
      </c>
      <c r="F11" s="1">
        <v>1206</v>
      </c>
      <c r="G11" t="s">
        <v>32</v>
      </c>
      <c r="H11" t="s">
        <v>117</v>
      </c>
      <c r="I11" s="4">
        <v>0.18</v>
      </c>
      <c r="J11" s="7">
        <f t="shared" si="0"/>
        <v>0.18</v>
      </c>
    </row>
    <row r="12" spans="1:10" x14ac:dyDescent="0.2">
      <c r="A12" s="1">
        <v>1</v>
      </c>
      <c r="B12" t="s">
        <v>5</v>
      </c>
      <c r="C12" s="1" t="s">
        <v>118</v>
      </c>
      <c r="D12" t="s">
        <v>88</v>
      </c>
      <c r="E12" t="s">
        <v>119</v>
      </c>
      <c r="F12" s="1">
        <v>1206</v>
      </c>
      <c r="G12" t="s">
        <v>32</v>
      </c>
      <c r="H12" t="s">
        <v>120</v>
      </c>
      <c r="I12" s="4">
        <v>0.28999999999999998</v>
      </c>
      <c r="J12" s="7">
        <f t="shared" si="0"/>
        <v>0.28999999999999998</v>
      </c>
    </row>
    <row r="13" spans="1:10" x14ac:dyDescent="0.2">
      <c r="A13" s="1">
        <v>1</v>
      </c>
      <c r="B13" t="s">
        <v>6</v>
      </c>
      <c r="C13" s="1" t="s">
        <v>123</v>
      </c>
      <c r="D13" t="s">
        <v>88</v>
      </c>
      <c r="E13" t="s">
        <v>122</v>
      </c>
      <c r="F13" s="1">
        <v>1206</v>
      </c>
      <c r="G13" t="s">
        <v>32</v>
      </c>
      <c r="H13" t="s">
        <v>121</v>
      </c>
      <c r="I13" s="4">
        <v>0.16</v>
      </c>
      <c r="J13" s="7">
        <f t="shared" si="0"/>
        <v>0.16</v>
      </c>
    </row>
    <row r="15" spans="1:10" x14ac:dyDescent="0.2">
      <c r="A15" s="1">
        <v>2</v>
      </c>
      <c r="B15" t="s">
        <v>45</v>
      </c>
      <c r="C15" s="1" t="s">
        <v>34</v>
      </c>
      <c r="D15" t="s">
        <v>30</v>
      </c>
      <c r="E15" t="s">
        <v>31</v>
      </c>
      <c r="F15" s="1" t="s">
        <v>56</v>
      </c>
      <c r="G15" t="s">
        <v>32</v>
      </c>
      <c r="H15" t="s">
        <v>33</v>
      </c>
      <c r="I15" s="4">
        <v>0.32</v>
      </c>
      <c r="J15" s="7">
        <f>A15*I15</f>
        <v>0.64</v>
      </c>
    </row>
    <row r="16" spans="1:10" x14ac:dyDescent="0.2">
      <c r="A16" s="1">
        <v>1</v>
      </c>
      <c r="B16" t="s">
        <v>7</v>
      </c>
      <c r="C16" s="1" t="s">
        <v>124</v>
      </c>
      <c r="D16" t="s">
        <v>50</v>
      </c>
      <c r="E16" t="s">
        <v>51</v>
      </c>
      <c r="F16" s="1" t="s">
        <v>57</v>
      </c>
      <c r="G16" t="s">
        <v>32</v>
      </c>
      <c r="H16" t="s">
        <v>52</v>
      </c>
      <c r="I16" s="4">
        <v>0.45</v>
      </c>
      <c r="J16" s="7">
        <f>A16*I16</f>
        <v>0.45</v>
      </c>
    </row>
    <row r="17" spans="1:10" x14ac:dyDescent="0.2">
      <c r="A17" s="1">
        <v>1</v>
      </c>
      <c r="B17" t="s">
        <v>125</v>
      </c>
      <c r="C17" s="1" t="s">
        <v>129</v>
      </c>
      <c r="D17" t="s">
        <v>126</v>
      </c>
      <c r="E17" t="s">
        <v>127</v>
      </c>
      <c r="F17" s="1" t="s">
        <v>130</v>
      </c>
      <c r="G17" t="s">
        <v>32</v>
      </c>
      <c r="H17" t="s">
        <v>128</v>
      </c>
      <c r="I17" s="4">
        <v>1.98</v>
      </c>
      <c r="J17" s="7">
        <f>A17*I17</f>
        <v>1.98</v>
      </c>
    </row>
    <row r="19" spans="1:10" x14ac:dyDescent="0.2">
      <c r="A19" s="1">
        <v>2</v>
      </c>
      <c r="B19" t="s">
        <v>44</v>
      </c>
      <c r="C19" s="1" t="s">
        <v>68</v>
      </c>
      <c r="D19" t="s">
        <v>59</v>
      </c>
      <c r="E19" t="s">
        <v>58</v>
      </c>
      <c r="F19" s="1">
        <v>1206</v>
      </c>
      <c r="G19" t="s">
        <v>32</v>
      </c>
      <c r="H19" t="s">
        <v>67</v>
      </c>
      <c r="I19" s="4">
        <v>0.38</v>
      </c>
      <c r="J19" s="7">
        <f>A19*I19</f>
        <v>0.76</v>
      </c>
    </row>
    <row r="21" spans="1:10" x14ac:dyDescent="0.2">
      <c r="A21" s="1">
        <v>2</v>
      </c>
      <c r="B21" t="s">
        <v>48</v>
      </c>
      <c r="C21" s="1" t="s">
        <v>74</v>
      </c>
      <c r="D21" t="s">
        <v>69</v>
      </c>
      <c r="E21" t="s">
        <v>72</v>
      </c>
      <c r="F21" s="1">
        <v>1206</v>
      </c>
      <c r="G21" t="s">
        <v>32</v>
      </c>
      <c r="H21" t="s">
        <v>73</v>
      </c>
      <c r="I21" s="4">
        <v>0.1</v>
      </c>
      <c r="J21" s="7">
        <f t="shared" ref="J21:J26" si="1">A21*I21</f>
        <v>0.2</v>
      </c>
    </row>
    <row r="22" spans="1:10" x14ac:dyDescent="0.2">
      <c r="A22" s="1">
        <v>2</v>
      </c>
      <c r="B22" t="s">
        <v>46</v>
      </c>
      <c r="C22" s="1" t="s">
        <v>75</v>
      </c>
      <c r="D22" t="s">
        <v>69</v>
      </c>
      <c r="E22" t="s">
        <v>70</v>
      </c>
      <c r="F22" s="1">
        <v>1206</v>
      </c>
      <c r="G22" t="s">
        <v>32</v>
      </c>
      <c r="H22" t="s">
        <v>71</v>
      </c>
      <c r="I22" s="4">
        <v>0.1</v>
      </c>
      <c r="J22" s="7">
        <f t="shared" si="1"/>
        <v>0.2</v>
      </c>
    </row>
    <row r="23" spans="1:10" x14ac:dyDescent="0.2">
      <c r="A23" s="1">
        <v>2</v>
      </c>
      <c r="B23" t="s">
        <v>47</v>
      </c>
      <c r="C23" s="1" t="s">
        <v>77</v>
      </c>
      <c r="D23" t="s">
        <v>69</v>
      </c>
      <c r="E23" t="s">
        <v>76</v>
      </c>
      <c r="F23" s="1">
        <v>1206</v>
      </c>
      <c r="G23" t="s">
        <v>32</v>
      </c>
      <c r="H23" t="s">
        <v>78</v>
      </c>
      <c r="I23" s="4">
        <v>0.1</v>
      </c>
      <c r="J23" s="7">
        <f t="shared" si="1"/>
        <v>0.2</v>
      </c>
    </row>
    <row r="24" spans="1:10" x14ac:dyDescent="0.2">
      <c r="A24" s="1">
        <v>2</v>
      </c>
      <c r="B24" t="s">
        <v>49</v>
      </c>
      <c r="C24" s="1" t="s">
        <v>79</v>
      </c>
      <c r="D24" t="s">
        <v>69</v>
      </c>
      <c r="E24" t="s">
        <v>80</v>
      </c>
      <c r="F24" s="1">
        <v>1206</v>
      </c>
      <c r="G24" t="s">
        <v>32</v>
      </c>
      <c r="H24" t="s">
        <v>81</v>
      </c>
      <c r="I24" s="4">
        <v>0.1</v>
      </c>
      <c r="J24" s="7">
        <f t="shared" si="1"/>
        <v>0.2</v>
      </c>
    </row>
    <row r="25" spans="1:10" x14ac:dyDescent="0.2">
      <c r="A25" s="1">
        <v>1</v>
      </c>
      <c r="B25" t="s">
        <v>8</v>
      </c>
      <c r="C25" s="1" t="s">
        <v>82</v>
      </c>
      <c r="D25" t="s">
        <v>69</v>
      </c>
      <c r="E25" t="s">
        <v>83</v>
      </c>
      <c r="F25" s="1">
        <v>1206</v>
      </c>
      <c r="G25" t="s">
        <v>32</v>
      </c>
      <c r="H25" t="s">
        <v>84</v>
      </c>
      <c r="I25" s="4">
        <v>0.1</v>
      </c>
      <c r="J25" s="7">
        <f t="shared" si="1"/>
        <v>0.1</v>
      </c>
    </row>
    <row r="26" spans="1:10" x14ac:dyDescent="0.2">
      <c r="A26" s="1">
        <v>1</v>
      </c>
      <c r="B26" t="s">
        <v>9</v>
      </c>
      <c r="C26" s="1" t="s">
        <v>85</v>
      </c>
      <c r="D26" t="s">
        <v>69</v>
      </c>
      <c r="E26" t="s">
        <v>86</v>
      </c>
      <c r="F26" s="1">
        <v>1206</v>
      </c>
      <c r="G26" t="s">
        <v>32</v>
      </c>
      <c r="H26" t="s">
        <v>87</v>
      </c>
      <c r="I26" s="4">
        <v>0.1</v>
      </c>
      <c r="J26" s="7">
        <f t="shared" si="1"/>
        <v>0.1</v>
      </c>
    </row>
    <row r="28" spans="1:10" x14ac:dyDescent="0.2">
      <c r="A28" s="1">
        <v>1</v>
      </c>
      <c r="B28" t="s">
        <v>10</v>
      </c>
      <c r="C28" s="1" t="s">
        <v>61</v>
      </c>
      <c r="D28" t="s">
        <v>41</v>
      </c>
      <c r="E28" t="s">
        <v>42</v>
      </c>
      <c r="F28" s="1" t="s">
        <v>55</v>
      </c>
      <c r="G28" t="s">
        <v>32</v>
      </c>
      <c r="H28" t="s">
        <v>60</v>
      </c>
      <c r="I28" s="4">
        <v>0.53</v>
      </c>
      <c r="J28" s="7">
        <f>A28*I28</f>
        <v>0.53</v>
      </c>
    </row>
    <row r="30" spans="1:10" x14ac:dyDescent="0.2">
      <c r="A30" s="1">
        <v>1</v>
      </c>
      <c r="B30" t="s">
        <v>11</v>
      </c>
      <c r="C30" s="1" t="s">
        <v>39</v>
      </c>
      <c r="D30" t="s">
        <v>38</v>
      </c>
      <c r="E30" t="s">
        <v>15</v>
      </c>
      <c r="F30" s="1" t="s">
        <v>27</v>
      </c>
      <c r="G30" t="s">
        <v>32</v>
      </c>
      <c r="H30" t="s">
        <v>62</v>
      </c>
      <c r="I30" s="4">
        <v>1.29</v>
      </c>
      <c r="J30" s="7">
        <f>A30*I30</f>
        <v>1.29</v>
      </c>
    </row>
    <row r="31" spans="1:10" x14ac:dyDescent="0.2">
      <c r="A31" s="1">
        <v>1</v>
      </c>
      <c r="B31" t="s">
        <v>12</v>
      </c>
      <c r="C31" s="1" t="s">
        <v>40</v>
      </c>
      <c r="D31" t="s">
        <v>38</v>
      </c>
      <c r="E31" t="s">
        <v>16</v>
      </c>
      <c r="F31" s="1" t="s">
        <v>28</v>
      </c>
      <c r="G31" t="s">
        <v>32</v>
      </c>
      <c r="H31" t="s">
        <v>63</v>
      </c>
      <c r="I31" s="4">
        <v>2.94</v>
      </c>
      <c r="J31" s="7">
        <f>A31*I31</f>
        <v>2.94</v>
      </c>
    </row>
    <row r="32" spans="1:10" x14ac:dyDescent="0.2">
      <c r="A32" s="1">
        <v>1</v>
      </c>
      <c r="B32" t="s">
        <v>13</v>
      </c>
      <c r="C32" s="1" t="s">
        <v>37</v>
      </c>
      <c r="D32" t="s">
        <v>36</v>
      </c>
      <c r="E32" t="s">
        <v>17</v>
      </c>
      <c r="F32" s="1" t="s">
        <v>29</v>
      </c>
      <c r="G32" t="s">
        <v>32</v>
      </c>
      <c r="H32" t="s">
        <v>64</v>
      </c>
      <c r="I32" s="4">
        <v>2.04</v>
      </c>
      <c r="J32" s="7">
        <f>A32*I32</f>
        <v>2.04</v>
      </c>
    </row>
    <row r="33" spans="1:10" x14ac:dyDescent="0.2">
      <c r="A33" s="1">
        <v>1</v>
      </c>
      <c r="B33" t="s">
        <v>14</v>
      </c>
      <c r="C33" s="1" t="s">
        <v>66</v>
      </c>
      <c r="D33" t="s">
        <v>35</v>
      </c>
      <c r="E33" t="s">
        <v>18</v>
      </c>
      <c r="F33" s="1" t="s">
        <v>26</v>
      </c>
      <c r="G33" t="s">
        <v>32</v>
      </c>
      <c r="H33" t="s">
        <v>65</v>
      </c>
      <c r="I33" s="4">
        <v>0.57999999999999996</v>
      </c>
      <c r="J33" s="7">
        <f>A33*I33</f>
        <v>0.57999999999999996</v>
      </c>
    </row>
    <row r="35" spans="1:10" x14ac:dyDescent="0.2">
      <c r="A35" s="3"/>
      <c r="J35" s="5"/>
    </row>
  </sheetData>
  <mergeCells count="1">
    <mergeCell ref="A1:J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2016-10-09T16:12:24Z</dcterms:created>
  <dcterms:modified xsi:type="dcterms:W3CDTF">2016-10-10T02:21:37Z</dcterms:modified>
</cp:coreProperties>
</file>